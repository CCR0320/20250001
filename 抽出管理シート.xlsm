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/>
  <mc:AlternateContent xmlns:mc="http://schemas.openxmlformats.org/markup-compatibility/2006">
    <mc:Choice Requires="x15">
      <x15ac:absPath xmlns:x15ac="http://schemas.microsoft.com/office/spreadsheetml/2010/11/ac" url="C:\Users\owner\Desktop\VBA\"/>
    </mc:Choice>
  </mc:AlternateContent>
  <xr:revisionPtr revIDLastSave="0" documentId="13_ncr:1_{2F498FD5-7545-41AE-A0D4-61529BF3293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" sheetId="1" r:id="rId1"/>
    <sheet name="件数抽出" sheetId="2" r:id="rId2"/>
    <sheet name="data2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E9" i="2" s="1"/>
  <c r="D8" i="2"/>
  <c r="E8" i="2" s="1"/>
  <c r="D7" i="2"/>
  <c r="E7" i="2" s="1"/>
  <c r="C9" i="2"/>
  <c r="C8" i="2"/>
  <c r="C7" i="2"/>
  <c r="C6" i="2"/>
  <c r="D6" i="2"/>
  <c r="E6" i="2" s="1"/>
  <c r="D5" i="2"/>
  <c r="E5" i="2" s="1"/>
  <c r="C5" i="2"/>
</calcChain>
</file>

<file path=xl/sharedStrings.xml><?xml version="1.0" encoding="utf-8"?>
<sst xmlns="http://schemas.openxmlformats.org/spreadsheetml/2006/main" count="36" uniqueCount="21">
  <si>
    <t>日付</t>
    <rPh sb="0" eb="2">
      <t>ヒヅケ</t>
    </rPh>
    <phoneticPr fontId="1"/>
  </si>
  <si>
    <t>管理No</t>
    <rPh sb="0" eb="2">
      <t>カンリ</t>
    </rPh>
    <phoneticPr fontId="1"/>
  </si>
  <si>
    <t>名前</t>
    <rPh sb="0" eb="2">
      <t>ナマエ</t>
    </rPh>
    <phoneticPr fontId="1"/>
  </si>
  <si>
    <t>予測されるリスク</t>
    <rPh sb="0" eb="2">
      <t>ヨソク</t>
    </rPh>
    <phoneticPr fontId="1"/>
  </si>
  <si>
    <t>部屋名</t>
    <rPh sb="0" eb="3">
      <t>ヘヤメイ</t>
    </rPh>
    <phoneticPr fontId="1"/>
  </si>
  <si>
    <t>対策案</t>
    <rPh sb="0" eb="2">
      <t>タイサク</t>
    </rPh>
    <rPh sb="2" eb="3">
      <t>アン</t>
    </rPh>
    <phoneticPr fontId="1"/>
  </si>
  <si>
    <t>対策完了日</t>
    <rPh sb="0" eb="2">
      <t>タイサク</t>
    </rPh>
    <rPh sb="2" eb="5">
      <t>カンリョウビ</t>
    </rPh>
    <phoneticPr fontId="1"/>
  </si>
  <si>
    <t>名前</t>
    <rPh sb="0" eb="2">
      <t>ナマエ</t>
    </rPh>
    <phoneticPr fontId="1"/>
  </si>
  <si>
    <t>部屋名</t>
    <rPh sb="0" eb="3">
      <t>ヘヤメイ</t>
    </rPh>
    <phoneticPr fontId="1"/>
  </si>
  <si>
    <t>検査1室</t>
    <rPh sb="0" eb="2">
      <t>ケンサ</t>
    </rPh>
    <rPh sb="3" eb="4">
      <t>シツ</t>
    </rPh>
    <phoneticPr fontId="1"/>
  </si>
  <si>
    <t>検査2室</t>
    <rPh sb="0" eb="2">
      <t>ケンサ</t>
    </rPh>
    <rPh sb="3" eb="4">
      <t>シツ</t>
    </rPh>
    <phoneticPr fontId="1"/>
  </si>
  <si>
    <t>熱処理室</t>
    <rPh sb="0" eb="4">
      <t>ネツショリシツ</t>
    </rPh>
    <phoneticPr fontId="1"/>
  </si>
  <si>
    <t>熱処理機械室</t>
    <rPh sb="0" eb="3">
      <t>ネツショリ</t>
    </rPh>
    <rPh sb="3" eb="6">
      <t>キカイシツ</t>
    </rPh>
    <phoneticPr fontId="1"/>
  </si>
  <si>
    <t>その他</t>
    <rPh sb="2" eb="3">
      <t>タ</t>
    </rPh>
    <phoneticPr fontId="1"/>
  </si>
  <si>
    <t>部屋別抽出件数</t>
    <rPh sb="0" eb="3">
      <t>ヘヤベツ</t>
    </rPh>
    <rPh sb="3" eb="5">
      <t>チュウシュツ</t>
    </rPh>
    <rPh sb="5" eb="7">
      <t>ケンスウ</t>
    </rPh>
    <phoneticPr fontId="1"/>
  </si>
  <si>
    <t>抽出済</t>
    <rPh sb="0" eb="2">
      <t>チュウシュツ</t>
    </rPh>
    <rPh sb="2" eb="3">
      <t>スミ</t>
    </rPh>
    <phoneticPr fontId="1"/>
  </si>
  <si>
    <t>対策完了済</t>
    <rPh sb="0" eb="5">
      <t>タイサクカンリョウスミ</t>
    </rPh>
    <phoneticPr fontId="1"/>
  </si>
  <si>
    <t>完了率</t>
    <rPh sb="0" eb="3">
      <t>カンリョウリツ</t>
    </rPh>
    <phoneticPr fontId="1"/>
  </si>
  <si>
    <t>ｓｓ</t>
    <phoneticPr fontId="1"/>
  </si>
  <si>
    <t>ss</t>
    <phoneticPr fontId="1"/>
  </si>
  <si>
    <t>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</si>
</sst>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4"/>
      <color theme="1"/>
      <name val="BIZ UDP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33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59996337778862885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Font="1" applyBorder="1" applyAlignment="1">
      <alignment shrinkToFit="1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2" xfId="0" applyFill="1" applyBorder="1"/>
    <xf numFmtId="14" fontId="0" fillId="0" borderId="4" xfId="0" applyNumberFormat="1" applyBorder="1"/>
    <xf numFmtId="0" fontId="3" fillId="0" borderId="13" xfId="0" applyFont="1" applyBorder="1" applyAlignment="1">
      <alignment horizontal="center" wrapText="1"/>
    </xf>
    <xf numFmtId="0" fontId="3" fillId="0" borderId="1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9" fontId="3" fillId="0" borderId="15" xfId="1" applyFont="1" applyBorder="1" applyAlignment="1">
      <alignment horizontal="center" shrinkToFit="1"/>
    </xf>
    <xf numFmtId="9" fontId="3" fillId="0" borderId="11" xfId="1" applyFont="1" applyBorder="1" applyAlignment="1">
      <alignment horizontal="center" shrinkToFit="1"/>
    </xf>
  </cellXfs>
  <cellStyles count="2">
    <cellStyle name="パーセント" xfId="1" builtinId="5"/>
    <cellStyle name="標準" xfId="0" builtinId="0"/>
  </cellStyles>
  <dxfs count="2">
    <dxf>
      <fill>
        <patternFill>
          <bgColor rgb="FFFF66CC"/>
        </patternFill>
      </fill>
    </dxf>
    <dxf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FF66CC"/>
      <color rgb="FFFFFF66"/>
      <color rgb="FFFF66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H28"/>
  <sheetViews>
    <sheetView topLeftCell="C1" zoomScale="85" zoomScaleNormal="85" workbookViewId="0">
      <selection activeCell="G11" sqref="G11"/>
    </sheetView>
  </sheetViews>
  <sheetFormatPr defaultRowHeight="18.75"/>
  <cols>
    <col min="2" max="2" width="6.875" customWidth="1"/>
    <col min="3" max="3" width="13.125" customWidth="1"/>
    <col min="6" max="7" width="45.625" customWidth="1"/>
    <col min="8" max="8" width="17.875" customWidth="1"/>
  </cols>
  <sheetData>
    <row r="3" spans="2:8" ht="19.5" thickBot="1"/>
    <row r="4" spans="2:8" ht="19.5" thickBot="1">
      <c r="B4" s="3" t="s">
        <v>1</v>
      </c>
      <c r="C4" s="4" t="s">
        <v>0</v>
      </c>
      <c r="D4" s="5" t="s">
        <v>2</v>
      </c>
      <c r="E4" s="5" t="s">
        <v>4</v>
      </c>
      <c r="F4" s="2" t="s">
        <v>3</v>
      </c>
      <c r="G4" s="2" t="s">
        <v>5</v>
      </c>
      <c r="H4" s="2" t="s">
        <v>6</v>
      </c>
    </row>
    <row r="5" spans="2:8">
      <c r="B5" s="6">
        <v>1</v>
      </c>
      <c r="C5" s="10"/>
      <c r="D5" s="10"/>
      <c r="E5" s="11"/>
      <c r="F5" s="10"/>
      <c r="G5" s="10"/>
      <c r="H5" s="10"/>
    </row>
    <row r="6" spans="2:8">
      <c r="B6" s="6">
        <v>2</v>
      </c>
      <c r="C6" s="16">
        <v>45789</v>
      </c>
      <c r="D6" s="8" t="s">
        <v>18</v>
      </c>
      <c r="E6" s="11" t="s">
        <v>9</v>
      </c>
      <c r="F6" s="8" t="s">
        <v>18</v>
      </c>
      <c r="G6" s="8" t="s">
        <v>19</v>
      </c>
      <c r="H6" s="8" t="s">
        <v>20</v>
      </c>
    </row>
    <row r="7" spans="2:8">
      <c r="B7" s="6">
        <v>3</v>
      </c>
      <c r="C7" s="16">
        <v>45789</v>
      </c>
      <c r="D7" s="8" t="s">
        <v>18</v>
      </c>
      <c r="E7" s="11" t="s">
        <v>9</v>
      </c>
      <c r="F7" s="8" t="s">
        <v>18</v>
      </c>
      <c r="G7" s="8" t="s">
        <v>19</v>
      </c>
      <c r="H7" s="8" t="s">
        <v>20</v>
      </c>
    </row>
    <row r="8" spans="2:8">
      <c r="B8" s="6">
        <v>4</v>
      </c>
      <c r="C8" s="16">
        <v>45789</v>
      </c>
      <c r="D8" s="8" t="s">
        <v>18</v>
      </c>
      <c r="E8" s="11" t="s">
        <v>9</v>
      </c>
      <c r="F8" s="8" t="s">
        <v>18</v>
      </c>
      <c r="G8" s="8"/>
      <c r="H8" s="8"/>
    </row>
    <row r="9" spans="2:8">
      <c r="B9" s="6">
        <v>5</v>
      </c>
      <c r="C9" s="8"/>
      <c r="D9" s="8"/>
      <c r="E9" s="11"/>
      <c r="F9" s="8"/>
      <c r="G9" s="8"/>
      <c r="H9" s="8"/>
    </row>
    <row r="10" spans="2:8">
      <c r="B10" s="6">
        <v>6</v>
      </c>
      <c r="C10" s="8"/>
      <c r="D10" s="8"/>
      <c r="E10" s="11"/>
      <c r="F10" s="8"/>
      <c r="G10" s="8"/>
      <c r="H10" s="8"/>
    </row>
    <row r="11" spans="2:8">
      <c r="B11" s="6">
        <v>7</v>
      </c>
      <c r="C11" s="8"/>
      <c r="D11" s="8"/>
      <c r="E11" s="11"/>
      <c r="F11" s="8"/>
      <c r="G11" s="8"/>
      <c r="H11" s="8"/>
    </row>
    <row r="12" spans="2:8">
      <c r="B12" s="6">
        <v>8</v>
      </c>
      <c r="C12" s="8"/>
      <c r="D12" s="8"/>
      <c r="E12" s="11"/>
      <c r="F12" s="8"/>
      <c r="G12" s="8"/>
      <c r="H12" s="8"/>
    </row>
    <row r="13" spans="2:8">
      <c r="B13" s="6">
        <v>9</v>
      </c>
      <c r="C13" s="8"/>
      <c r="D13" s="8"/>
      <c r="E13" s="11"/>
      <c r="F13" s="8"/>
      <c r="G13" s="8"/>
      <c r="H13" s="8"/>
    </row>
    <row r="14" spans="2:8">
      <c r="B14" s="6">
        <v>10</v>
      </c>
      <c r="C14" s="8"/>
      <c r="D14" s="8"/>
      <c r="E14" s="11"/>
      <c r="F14" s="8"/>
      <c r="G14" s="8"/>
      <c r="H14" s="8"/>
    </row>
    <row r="15" spans="2:8">
      <c r="B15" s="6">
        <v>11</v>
      </c>
      <c r="C15" s="8"/>
      <c r="D15" s="8"/>
      <c r="E15" s="11"/>
      <c r="F15" s="8"/>
      <c r="G15" s="8"/>
      <c r="H15" s="8"/>
    </row>
    <row r="16" spans="2:8">
      <c r="B16" s="6">
        <v>12</v>
      </c>
      <c r="C16" s="8"/>
      <c r="D16" s="8"/>
      <c r="E16" s="11"/>
      <c r="F16" s="8"/>
      <c r="G16" s="8"/>
      <c r="H16" s="8"/>
    </row>
    <row r="17" spans="2:8">
      <c r="B17" s="6">
        <v>13</v>
      </c>
      <c r="C17" s="8"/>
      <c r="D17" s="8"/>
      <c r="E17" s="11"/>
      <c r="F17" s="8"/>
      <c r="G17" s="8"/>
      <c r="H17" s="8"/>
    </row>
    <row r="18" spans="2:8">
      <c r="B18" s="6">
        <v>14</v>
      </c>
      <c r="C18" s="8"/>
      <c r="D18" s="8"/>
      <c r="E18" s="11"/>
      <c r="F18" s="8"/>
      <c r="G18" s="8"/>
      <c r="H18" s="8"/>
    </row>
    <row r="19" spans="2:8">
      <c r="B19" s="6">
        <v>15</v>
      </c>
      <c r="C19" s="8"/>
      <c r="D19" s="8"/>
      <c r="E19" s="11"/>
      <c r="F19" s="8"/>
      <c r="G19" s="8"/>
      <c r="H19" s="8"/>
    </row>
    <row r="20" spans="2:8">
      <c r="B20" s="6">
        <v>16</v>
      </c>
      <c r="C20" s="8"/>
      <c r="D20" s="8"/>
      <c r="E20" s="11"/>
      <c r="F20" s="8"/>
      <c r="G20" s="8"/>
      <c r="H20" s="8"/>
    </row>
    <row r="21" spans="2:8">
      <c r="B21" s="6">
        <v>17</v>
      </c>
      <c r="C21" s="8"/>
      <c r="D21" s="8"/>
      <c r="E21" s="11"/>
      <c r="F21" s="8"/>
      <c r="G21" s="8"/>
      <c r="H21" s="8"/>
    </row>
    <row r="22" spans="2:8">
      <c r="B22" s="6">
        <v>18</v>
      </c>
      <c r="C22" s="8"/>
      <c r="D22" s="8"/>
      <c r="E22" s="11"/>
      <c r="F22" s="8"/>
      <c r="G22" s="8"/>
      <c r="H22" s="8"/>
    </row>
    <row r="23" spans="2:8">
      <c r="B23" s="6">
        <v>19</v>
      </c>
      <c r="C23" s="8"/>
      <c r="D23" s="8"/>
      <c r="E23" s="11"/>
      <c r="F23" s="8"/>
      <c r="G23" s="8"/>
      <c r="H23" s="8"/>
    </row>
    <row r="24" spans="2:8">
      <c r="B24" s="6">
        <v>20</v>
      </c>
      <c r="C24" s="9"/>
      <c r="D24" s="9"/>
      <c r="E24" s="9"/>
      <c r="F24" s="9"/>
      <c r="G24" s="9"/>
      <c r="H24" s="9"/>
    </row>
    <row r="25" spans="2:8">
      <c r="B25" s="6">
        <v>21</v>
      </c>
    </row>
    <row r="26" spans="2:8">
      <c r="B26" s="6">
        <v>22</v>
      </c>
    </row>
    <row r="27" spans="2:8">
      <c r="B27" s="15">
        <v>23</v>
      </c>
    </row>
    <row r="28" spans="2:8">
      <c r="B28" s="15">
        <v>24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1CEF6A-C204-4EE2-8D45-644901824B30}">
          <x14:formula1>
            <xm:f>data2!$C$3:$C$7</xm:f>
          </x14:formula1>
          <xm:sqref>E5:E23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C426-0D14-4C23-93CE-A8DB5060259B}">
  <dimension ref="B3:E9"/>
  <sheetViews>
    <sheetView tabSelected="1" workbookViewId="0">
      <selection activeCell="D7" sqref="D7"/>
    </sheetView>
  </sheetViews>
  <sheetFormatPr defaultRowHeight="18.75"/>
  <cols>
    <col min="2" max="2" width="13.625" customWidth="1"/>
    <col min="3" max="4" width="15.625" customWidth="1"/>
    <col min="5" max="5" width="9.375" bestFit="1" customWidth="1"/>
  </cols>
  <sheetData>
    <row r="3" spans="2:5" ht="19.5" thickBot="1">
      <c r="B3" t="s">
        <v>14</v>
      </c>
    </row>
    <row r="4" spans="2:5" ht="24.95" customHeight="1" thickBot="1">
      <c r="B4" s="1"/>
      <c r="C4" s="14" t="s">
        <v>15</v>
      </c>
      <c r="D4" s="23" t="s">
        <v>16</v>
      </c>
      <c r="E4" s="24" t="s">
        <v>17</v>
      </c>
    </row>
    <row r="5" spans="2:5" ht="24.95" customHeight="1">
      <c r="B5" s="7" t="s">
        <v>9</v>
      </c>
      <c r="C5" s="17">
        <f>SUMPRODUCT((data!C5:C1000&lt;&gt;"")*(data!D5:D1000&lt;&gt;"")*(data!E5:E1000="検査1室")*(data!F5:F1000&lt;&gt;""))</f>
        <v>3</v>
      </c>
      <c r="D5" s="18">
        <f>SUMPRODUCT((data!C5:C1000&lt;&gt;"")*(data!D5:D1000&lt;&gt;"")*(data!E5:E1000="検査1室")*(data!F5:F1000&lt;&gt;"")*(data!G5:G1000&lt;&gt;"")*(data!H5:H1000&lt;&gt;""))</f>
        <v>2</v>
      </c>
      <c r="E5" s="25">
        <f>IF(D5=0, "抽出無し", D5/C5)</f>
        <v>0.66666666666666663</v>
      </c>
    </row>
    <row r="6" spans="2:5" ht="24.95" customHeight="1">
      <c r="B6" s="12" t="s">
        <v>10</v>
      </c>
      <c r="C6" s="17">
        <f>SUMPRODUCT((data!C5:C1000&lt;&gt;"")*(data!D5:D1000&lt;&gt;"")*(data!E5:E1000="検査2室")*(data!F5:F1000&lt;&gt;""))</f>
        <v>0</v>
      </c>
      <c r="D6" s="19">
        <f>SUMPRODUCT((data!C5:C1000&lt;&gt;"")*(data!D5:D1000&lt;&gt;"")*(data!E5:E1000="検査2室")*(data!F5:F1000&lt;&gt;"")*(data!G5:G1000&lt;&gt;"")*(data!H5:H1000&lt;&gt;""))</f>
        <v>0</v>
      </c>
      <c r="E6" s="25" t="str">
        <f>IF(D6=0, "抽出無し", D6/C6)</f>
        <v>抽出無し</v>
      </c>
    </row>
    <row r="7" spans="2:5" ht="24.95" customHeight="1">
      <c r="B7" s="12" t="s">
        <v>11</v>
      </c>
      <c r="C7" s="20">
        <f>SUMPRODUCT((data!C5:C1000&lt;&gt;"")*(data!D5:D1000&lt;&gt;"")*(data!E5:E1000="熱処理室")*(data!F5:F1000&lt;&gt;""))</f>
        <v>0</v>
      </c>
      <c r="D7" s="19">
        <f>SUMPRODUCT((data!C5:C1000&lt;&gt;"")*(data!D5:D1000&lt;&gt;"")*(data!E5:E1000="熱処理室")*(data!F5:F1000&lt;&gt;"")*(data!G5:G1000&lt;&gt;"")*(data!H5:H1000&lt;&gt;""))</f>
        <v>0</v>
      </c>
      <c r="E7" s="25" t="str">
        <f t="shared" ref="E7:E9" si="0">IF(D7=0, "抽出無し", D7/C7)</f>
        <v>抽出無し</v>
      </c>
    </row>
    <row r="8" spans="2:5" ht="24.95" customHeight="1">
      <c r="B8" s="12" t="s">
        <v>12</v>
      </c>
      <c r="C8" s="20">
        <f>SUMPRODUCT((data!C5:C1000&lt;&gt;"")*(data!D5:D1000&lt;&gt;"")*(data!E5:E1000="熱処理機械室")*(data!F5:F1000&lt;&gt;""))</f>
        <v>0</v>
      </c>
      <c r="D8" s="19">
        <f>SUMPRODUCT((data!C5:C1000&lt;&gt;"")*(data!D5:D1000&lt;&gt;"")*(data!E5:E1000="熱処理機械室")*(data!F5:F1000&lt;&gt;"")*(data!G5:G1000&lt;&gt;"")*(data!H5:H1000&lt;&gt;""))</f>
        <v>0</v>
      </c>
      <c r="E8" s="25" t="str">
        <f t="shared" si="0"/>
        <v>抽出無し</v>
      </c>
    </row>
    <row r="9" spans="2:5" ht="24.95" customHeight="1" thickBot="1">
      <c r="B9" s="13" t="s">
        <v>13</v>
      </c>
      <c r="C9" s="21">
        <f>SUMPRODUCT((data!C5:C1000&lt;&gt;"")*(data!D5:D1000&lt;&gt;"")*(data!E5:E1000="その他")*(data!F5:F1000&lt;&gt;""))</f>
        <v>0</v>
      </c>
      <c r="D9" s="22">
        <f>SUMPRODUCT((data!C5:C1000&lt;&gt;"")*(data!D5:D1000&lt;&gt;"")*(data!E5:E1000="その他")*(data!F5:F1000&lt;&gt;"")*(data!G5:G1000&lt;&gt;"")*(data!H5:H1000&lt;&gt;""))</f>
        <v>0</v>
      </c>
      <c r="E9" s="26" t="str">
        <f t="shared" si="0"/>
        <v>抽出無し</v>
      </c>
    </row>
  </sheetData>
  <phoneticPr fontId="1"/>
  <conditionalFormatting sqref="E5">
    <cfRule type="expression" dxfId="0" priority="1">
      <formula>E5&lt;=0.4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8A84-28E2-4C91-AFE1-739F2F2B5CA1}">
  <dimension ref="B2:C7"/>
  <sheetViews>
    <sheetView workbookViewId="0">
      <selection activeCell="C3" sqref="C3:C7"/>
    </sheetView>
  </sheetViews>
  <sheetFormatPr defaultRowHeight="18.75"/>
  <sheetData>
    <row r="2" spans="2:3">
      <c r="B2" t="s">
        <v>7</v>
      </c>
      <c r="C2" t="s">
        <v>8</v>
      </c>
    </row>
    <row r="3" spans="2:3">
      <c r="C3" t="s">
        <v>9</v>
      </c>
    </row>
    <row r="4" spans="2:3">
      <c r="C4" t="s">
        <v>10</v>
      </c>
    </row>
    <row r="5" spans="2:3">
      <c r="C5" t="s">
        <v>11</v>
      </c>
    </row>
    <row r="6" spans="2:3">
      <c r="C6" t="s">
        <v>12</v>
      </c>
    </row>
    <row r="7" spans="2:3">
      <c r="C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件数抽出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2015-06-05T18:19:34Z</dcterms:created>
  <dcterms:modified xsi:type="dcterms:W3CDTF">2025-05-12T08:46:10Z</dcterms:modified>
</cp:coreProperties>
</file>